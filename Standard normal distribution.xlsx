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c84e1f40a1d74f/Desktop/statistics/"/>
    </mc:Choice>
  </mc:AlternateContent>
  <xr:revisionPtr revIDLastSave="0" documentId="8_{562279EF-2660-41E3-AE60-E8FAADB5A55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tandard normal" sheetId="3" r:id="rId1"/>
  </sheets>
  <definedNames>
    <definedName name="_xlchart.v1.0" hidden="1">'Standard normal'!$H$11:$H$90</definedName>
    <definedName name="_xlchart.v1.1" hidden="1">'Standard normal'!$M$11:$M$90</definedName>
    <definedName name="_xlchart.v1.2" hidden="1">'Standard normal'!$B$11:$B$90</definedName>
    <definedName name="_xlchart.v1.3" hidden="1">'Standard normal'!$H$11:$H$90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3" l="1"/>
  <c r="F11" i="3"/>
  <c r="H89" i="3" l="1"/>
  <c r="H19" i="3"/>
  <c r="H23" i="3"/>
  <c r="H27" i="3"/>
  <c r="H31" i="3"/>
  <c r="H35" i="3"/>
  <c r="H39" i="3"/>
  <c r="H43" i="3"/>
  <c r="H47" i="3"/>
  <c r="H51" i="3"/>
  <c r="H55" i="3"/>
  <c r="H59" i="3"/>
  <c r="H63" i="3"/>
  <c r="H67" i="3"/>
  <c r="H71" i="3"/>
  <c r="H75" i="3"/>
  <c r="H79" i="3"/>
  <c r="H83" i="3"/>
  <c r="H12" i="3"/>
  <c r="H16" i="3"/>
  <c r="H90" i="3"/>
  <c r="H20" i="3"/>
  <c r="H24" i="3"/>
  <c r="H28" i="3"/>
  <c r="H32" i="3"/>
  <c r="H36" i="3"/>
  <c r="H40" i="3"/>
  <c r="H44" i="3"/>
  <c r="H48" i="3"/>
  <c r="H52" i="3"/>
  <c r="H56" i="3"/>
  <c r="H60" i="3"/>
  <c r="H64" i="3"/>
  <c r="H68" i="3"/>
  <c r="H72" i="3"/>
  <c r="H76" i="3"/>
  <c r="H80" i="3"/>
  <c r="H84" i="3"/>
  <c r="H13" i="3"/>
  <c r="H11" i="3"/>
  <c r="H87" i="3"/>
  <c r="H17" i="3"/>
  <c r="H21" i="3"/>
  <c r="H25" i="3"/>
  <c r="H29" i="3"/>
  <c r="H33" i="3"/>
  <c r="H37" i="3"/>
  <c r="H41" i="3"/>
  <c r="H45" i="3"/>
  <c r="H49" i="3"/>
  <c r="H53" i="3"/>
  <c r="H57" i="3"/>
  <c r="H61" i="3"/>
  <c r="H65" i="3"/>
  <c r="H69" i="3"/>
  <c r="H73" i="3"/>
  <c r="H77" i="3"/>
  <c r="H81" i="3"/>
  <c r="H85" i="3"/>
  <c r="H14" i="3"/>
  <c r="H82" i="3"/>
  <c r="H66" i="3"/>
  <c r="H50" i="3"/>
  <c r="H34" i="3"/>
  <c r="H18" i="3"/>
  <c r="H78" i="3"/>
  <c r="H62" i="3"/>
  <c r="H46" i="3"/>
  <c r="H30" i="3"/>
  <c r="H88" i="3"/>
  <c r="H15" i="3"/>
  <c r="H74" i="3"/>
  <c r="H58" i="3"/>
  <c r="H42" i="3"/>
  <c r="H26" i="3"/>
  <c r="H86" i="3"/>
  <c r="H70" i="3"/>
  <c r="H54" i="3"/>
  <c r="H38" i="3"/>
  <c r="H22" i="3"/>
  <c r="K11" i="3" l="1"/>
  <c r="M88" i="3" s="1"/>
  <c r="K10" i="3"/>
  <c r="M26" i="3" l="1"/>
  <c r="M87" i="3"/>
  <c r="M23" i="3"/>
  <c r="M59" i="3"/>
  <c r="M86" i="3"/>
  <c r="M77" i="3"/>
  <c r="M17" i="3"/>
  <c r="M14" i="3"/>
  <c r="M36" i="3"/>
  <c r="M40" i="3"/>
  <c r="M39" i="3"/>
  <c r="M21" i="3"/>
  <c r="M44" i="3"/>
  <c r="M47" i="3"/>
  <c r="M58" i="3"/>
  <c r="M81" i="3"/>
  <c r="M85" i="3"/>
  <c r="M25" i="3"/>
  <c r="M32" i="3"/>
  <c r="M51" i="3"/>
  <c r="M42" i="3"/>
  <c r="M56" i="3"/>
  <c r="M37" i="3"/>
  <c r="M50" i="3"/>
  <c r="M38" i="3"/>
  <c r="M75" i="3"/>
  <c r="M60" i="3"/>
  <c r="M41" i="3"/>
  <c r="M34" i="3"/>
  <c r="M22" i="3"/>
  <c r="M63" i="3"/>
  <c r="M48" i="3"/>
  <c r="M29" i="3"/>
  <c r="M82" i="3"/>
  <c r="M70" i="3"/>
  <c r="M67" i="3"/>
  <c r="M52" i="3"/>
  <c r="M33" i="3"/>
  <c r="M66" i="3"/>
  <c r="M54" i="3"/>
  <c r="M55" i="3"/>
  <c r="M12" i="3"/>
  <c r="M72" i="3"/>
  <c r="M53" i="3"/>
  <c r="M62" i="3"/>
  <c r="M27" i="3"/>
  <c r="M16" i="3"/>
  <c r="M76" i="3"/>
  <c r="M57" i="3"/>
  <c r="M46" i="3"/>
  <c r="M89" i="3"/>
  <c r="M79" i="3"/>
  <c r="M64" i="3"/>
  <c r="M45" i="3"/>
  <c r="M18" i="3"/>
  <c r="M19" i="3"/>
  <c r="M83" i="3"/>
  <c r="M68" i="3"/>
  <c r="M49" i="3"/>
  <c r="M78" i="3"/>
  <c r="M71" i="3"/>
  <c r="M24" i="3"/>
  <c r="M13" i="3"/>
  <c r="M69" i="3"/>
  <c r="M15" i="3"/>
  <c r="M43" i="3"/>
  <c r="M28" i="3"/>
  <c r="M11" i="3"/>
  <c r="M73" i="3"/>
  <c r="M74" i="3"/>
  <c r="M31" i="3"/>
  <c r="M90" i="3"/>
  <c r="M80" i="3"/>
  <c r="M61" i="3"/>
  <c r="M30" i="3"/>
  <c r="M35" i="3"/>
  <c r="M20" i="3"/>
  <c r="M84" i="3"/>
  <c r="M65" i="3"/>
  <c r="P11" i="3" l="1"/>
  <c r="P10" i="3"/>
</calcChain>
</file>

<file path=xl/sharedStrings.xml><?xml version="1.0" encoding="utf-8"?>
<sst xmlns="http://schemas.openxmlformats.org/spreadsheetml/2006/main" count="18" uniqueCount="16">
  <si>
    <t>Standard normal distribution</t>
  </si>
  <si>
    <t>Background</t>
  </si>
  <si>
    <t>Task 1</t>
  </si>
  <si>
    <t>Task 2</t>
  </si>
  <si>
    <t>Standardize the dataset</t>
  </si>
  <si>
    <t>Calculate the mean and standard deviation of the dataset</t>
  </si>
  <si>
    <t>Task 3</t>
  </si>
  <si>
    <t>Plot the data on a graph to see the change</t>
  </si>
  <si>
    <t>You are given an approximately normally distributed dataset</t>
  </si>
  <si>
    <t>Original dataset</t>
  </si>
  <si>
    <t xml:space="preserve">Mean </t>
  </si>
  <si>
    <t>Standard deviation</t>
  </si>
  <si>
    <t>Std</t>
  </si>
  <si>
    <t>Standardize</t>
  </si>
  <si>
    <t xml:space="preserve">Subtract Mean 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</si>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</sst>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2" fillId="2" borderId="1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1" fillId="2" borderId="0" xfId="0" applyFont="1" applyFill="1" applyBorder="1"/>
    <xf numFmtId="0" fontId="2" fillId="2" borderId="0" xfId="0" applyFont="1" applyFill="1" applyBorder="1"/>
    <xf numFmtId="2" fontId="1" fillId="2" borderId="0" xfId="0" applyNumberFormat="1" applyFont="1" applyFill="1" applyBorder="1"/>
    <xf numFmtId="2" fontId="1" fillId="2" borderId="0" xfId="0" applyNumberFormat="1" applyFont="1" applyFill="1"/>
    <xf numFmtId="2" fontId="1" fillId="2" borderId="2" xfId="0" applyNumberFormat="1" applyFont="1" applyFill="1" applyBorder="1"/>
    <xf numFmtId="0" fontId="1" fillId="2" borderId="3" xfId="0" applyFont="1" applyFill="1" applyBorder="1"/>
    <xf numFmtId="2" fontId="1" fillId="2" borderId="4" xfId="0" applyNumberFormat="1" applyFont="1" applyFill="1" applyBorder="1"/>
    <xf numFmtId="0" fontId="1" fillId="2" borderId="5" xfId="0" applyFont="1" applyFill="1" applyBorder="1"/>
    <xf numFmtId="2" fontId="1" fillId="2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F73CF2C3-46E9-40F7-9F00-FC9803879E6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F9DC5A93-91FF-4CB0-A229-EBDB1D65CCF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441960</xdr:colOff>
      <xdr:row>0</xdr:row>
      <xdr:rowOff>144780</xdr:rowOff>
    </xdr:from>
    <xdr:to>
      <xdr:col>23</xdr:col>
      <xdr:colOff>342900</xdr:colOff>
      <xdr:row>16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C06C24A-A9C9-45A8-9ED1-D3595F9703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7860" y="144780"/>
              <a:ext cx="4168140" cy="2354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449580</xdr:colOff>
      <xdr:row>16</xdr:row>
      <xdr:rowOff>121920</xdr:rowOff>
    </xdr:from>
    <xdr:to>
      <xdr:col>23</xdr:col>
      <xdr:colOff>426720</xdr:colOff>
      <xdr:row>33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4F0D519-D9E4-4AC1-ABB8-C47C9BCCA5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55480" y="2575560"/>
              <a:ext cx="4244340" cy="2415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90"/>
  <sheetViews>
    <sheetView tabSelected="1" workbookViewId="0">
      <selection activeCell="P19" sqref="P19"/>
    </sheetView>
  </sheetViews>
  <sheetFormatPr defaultRowHeight="11.4" x14ac:dyDescent="0.2"/>
  <cols>
    <col min="1" max="1" width="2" style="1" customWidth="1"/>
    <col min="2" max="2" width="13.6640625" style="1" customWidth="1"/>
    <col min="3" max="3" width="2.77734375" style="1" customWidth="1"/>
    <col min="4" max="4" width="0.77734375" style="7" customWidth="1"/>
    <col min="5" max="5" width="14.21875" style="7" bestFit="1" customWidth="1"/>
    <col min="6" max="6" width="5.6640625" style="7" bestFit="1" customWidth="1"/>
    <col min="7" max="7" width="8.88671875" style="7"/>
    <col min="8" max="8" width="12.109375" style="7" bestFit="1" customWidth="1"/>
    <col min="9" max="13" width="8.88671875" style="7"/>
    <col min="14" max="14" width="11" style="7" bestFit="1" customWidth="1"/>
    <col min="15" max="15" width="8.88671875" style="7"/>
    <col min="16" max="16" width="8.33203125" style="7" customWidth="1"/>
    <col min="17" max="19" width="8.88671875" style="7"/>
    <col min="20" max="16384" width="8.88671875" style="1"/>
  </cols>
  <sheetData>
    <row r="1" spans="2:19" ht="15.6" x14ac:dyDescent="0.3">
      <c r="B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x14ac:dyDescent="0.2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 ht="12" x14ac:dyDescent="0.25">
      <c r="B3" s="5" t="s">
        <v>1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ht="12" x14ac:dyDescent="0.25">
      <c r="B4" s="5" t="s">
        <v>2</v>
      </c>
      <c r="C4" s="1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ht="12" x14ac:dyDescent="0.25">
      <c r="B5" s="5" t="s">
        <v>3</v>
      </c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2:19" ht="12" x14ac:dyDescent="0.25">
      <c r="B6" s="5" t="s">
        <v>6</v>
      </c>
      <c r="C6" s="1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2:19" ht="12" x14ac:dyDescent="0.25">
      <c r="B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2:19" ht="12" x14ac:dyDescent="0.25">
      <c r="B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10" spans="2:19" ht="12.6" thickBot="1" x14ac:dyDescent="0.3">
      <c r="B10" s="3" t="s">
        <v>9</v>
      </c>
      <c r="H10" s="4" t="s">
        <v>14</v>
      </c>
      <c r="J10" s="12" t="s">
        <v>15</v>
      </c>
      <c r="K10" s="13">
        <f>AVERAGE(H11:H90)</f>
        <v>2.0889956431346944E-13</v>
      </c>
      <c r="M10" s="8" t="s">
        <v>13</v>
      </c>
      <c r="N10" s="4"/>
      <c r="O10" s="12" t="s">
        <v>15</v>
      </c>
      <c r="P10" s="13">
        <f>AVERAGE(M11:M90)</f>
        <v>2.6423307986078726E-15</v>
      </c>
    </row>
    <row r="11" spans="2:19" x14ac:dyDescent="0.2">
      <c r="B11" s="10">
        <v>567.45000000000005</v>
      </c>
      <c r="E11" s="12" t="s">
        <v>10</v>
      </c>
      <c r="F11" s="13">
        <f>AVERAGE(B11:B90)</f>
        <v>743.02708333333317</v>
      </c>
      <c r="H11" s="9">
        <f xml:space="preserve"> B11-$F$11</f>
        <v>-175.57708333333312</v>
      </c>
      <c r="J11" s="14" t="s">
        <v>12</v>
      </c>
      <c r="K11" s="15">
        <f>_xlfn.STDEV.S(H11:H90)</f>
        <v>73.953060547763371</v>
      </c>
      <c r="M11" s="7">
        <f>H11/$K$11</f>
        <v>-2.3741692640284278</v>
      </c>
      <c r="N11" s="9"/>
      <c r="O11" s="14" t="s">
        <v>12</v>
      </c>
      <c r="P11" s="15">
        <f>_xlfn.STDEV.S(M11:M90)</f>
        <v>0.99999999999999967</v>
      </c>
    </row>
    <row r="12" spans="2:19" ht="12" x14ac:dyDescent="0.25">
      <c r="B12" s="10">
        <v>572.45000000000005</v>
      </c>
      <c r="C12" s="6"/>
      <c r="E12" s="14" t="s">
        <v>11</v>
      </c>
      <c r="F12" s="15">
        <f xml:space="preserve"> _xlfn.STDEV.S(B11:B90)</f>
        <v>73.953060547763371</v>
      </c>
      <c r="H12" s="9">
        <f xml:space="preserve"> B12-$F$11</f>
        <v>-170.57708333333312</v>
      </c>
      <c r="J12" s="4"/>
      <c r="K12" s="9"/>
      <c r="L12" s="9"/>
      <c r="M12" s="7">
        <f>H12/$K$11</f>
        <v>-2.3065588100057615</v>
      </c>
      <c r="N12" s="9"/>
      <c r="P12" s="4"/>
      <c r="Q12" s="9"/>
    </row>
    <row r="13" spans="2:19" ht="12" x14ac:dyDescent="0.25">
      <c r="B13" s="10">
        <v>572.45000000000005</v>
      </c>
      <c r="D13" s="9"/>
      <c r="E13" s="9"/>
      <c r="F13" s="9"/>
      <c r="H13" s="9">
        <f xml:space="preserve"> B13-$F$11</f>
        <v>-170.57708333333312</v>
      </c>
      <c r="J13" s="4"/>
      <c r="K13" s="9"/>
      <c r="L13" s="9"/>
      <c r="M13" s="7">
        <f>H13/$K$11</f>
        <v>-2.3065588100057615</v>
      </c>
      <c r="N13" s="9"/>
      <c r="P13" s="4"/>
      <c r="Q13" s="9"/>
    </row>
    <row r="14" spans="2:19" x14ac:dyDescent="0.2">
      <c r="B14" s="10">
        <v>589.11666666666679</v>
      </c>
      <c r="H14" s="9">
        <f xml:space="preserve"> B14-$F$11</f>
        <v>-153.91041666666638</v>
      </c>
      <c r="M14" s="7">
        <f>H14/$K$11</f>
        <v>-2.081190629930207</v>
      </c>
      <c r="N14" s="9"/>
    </row>
    <row r="15" spans="2:19" ht="12" x14ac:dyDescent="0.25">
      <c r="B15" s="10">
        <v>613.86666666666679</v>
      </c>
      <c r="C15" s="6"/>
      <c r="H15" s="9">
        <f xml:space="preserve"> B15-$F$11</f>
        <v>-129.16041666666638</v>
      </c>
      <c r="I15" s="4"/>
      <c r="M15" s="7">
        <f>H15/$K$11</f>
        <v>-1.7465188825180096</v>
      </c>
      <c r="N15" s="9"/>
      <c r="O15" s="4"/>
    </row>
    <row r="16" spans="2:19" x14ac:dyDescent="0.2">
      <c r="B16" s="10">
        <v>615.7833333333333</v>
      </c>
      <c r="H16" s="9">
        <f xml:space="preserve"> B16-$F$11</f>
        <v>-127.24374999999986</v>
      </c>
      <c r="M16" s="7">
        <f>H16/$K$11</f>
        <v>-1.7206015418093228</v>
      </c>
      <c r="N16" s="9"/>
    </row>
    <row r="17" spans="2:14" x14ac:dyDescent="0.2">
      <c r="B17" s="10">
        <v>628.45000000000005</v>
      </c>
      <c r="H17" s="9">
        <f xml:space="preserve"> B17-$F$11</f>
        <v>-114.57708333333312</v>
      </c>
      <c r="M17" s="7">
        <f>H17/$K$11</f>
        <v>-1.5493217249519009</v>
      </c>
      <c r="N17" s="9"/>
    </row>
    <row r="18" spans="2:14" x14ac:dyDescent="0.2">
      <c r="B18" s="10">
        <v>644.86666666666679</v>
      </c>
      <c r="H18" s="9">
        <f xml:space="preserve"> B18-$F$11</f>
        <v>-98.160416666666379</v>
      </c>
      <c r="M18" s="7">
        <f>H18/$K$11</f>
        <v>-1.3273340675774794</v>
      </c>
      <c r="N18" s="9"/>
    </row>
    <row r="19" spans="2:14" x14ac:dyDescent="0.2">
      <c r="B19" s="10">
        <v>650.45000000000005</v>
      </c>
      <c r="H19" s="9">
        <f xml:space="preserve"> B19-$F$11</f>
        <v>-92.577083333333121</v>
      </c>
      <c r="M19" s="7">
        <f>H19/$K$11</f>
        <v>-1.2518357272521701</v>
      </c>
      <c r="N19" s="9"/>
    </row>
    <row r="20" spans="2:14" x14ac:dyDescent="0.2">
      <c r="B20" s="10">
        <v>652.20000000000005</v>
      </c>
      <c r="H20" s="9">
        <f xml:space="preserve"> B20-$F$11</f>
        <v>-90.827083333333121</v>
      </c>
      <c r="M20" s="7">
        <f>H20/$K$11</f>
        <v>-1.2281720683442368</v>
      </c>
      <c r="N20" s="9"/>
    </row>
    <row r="21" spans="2:14" x14ac:dyDescent="0.2">
      <c r="B21" s="10">
        <v>656.86666666666679</v>
      </c>
      <c r="H21" s="9">
        <f xml:space="preserve"> B21-$F$11</f>
        <v>-86.160416666666379</v>
      </c>
      <c r="M21" s="7">
        <f>H21/$K$11</f>
        <v>-1.1650689779230807</v>
      </c>
      <c r="N21" s="9"/>
    </row>
    <row r="22" spans="2:14" x14ac:dyDescent="0.2">
      <c r="B22" s="10">
        <v>661.45</v>
      </c>
      <c r="H22" s="9">
        <f xml:space="preserve"> B22-$F$11</f>
        <v>-81.577083333333121</v>
      </c>
      <c r="M22" s="7">
        <f>H22/$K$11</f>
        <v>-1.1030927284023044</v>
      </c>
      <c r="N22" s="9"/>
    </row>
    <row r="23" spans="2:14" x14ac:dyDescent="0.2">
      <c r="B23" s="10">
        <v>666.45</v>
      </c>
      <c r="H23" s="9">
        <f xml:space="preserve"> B23-$F$11</f>
        <v>-76.577083333333121</v>
      </c>
      <c r="M23" s="7">
        <f>H23/$K$11</f>
        <v>-1.0354822743796384</v>
      </c>
      <c r="N23" s="9"/>
    </row>
    <row r="24" spans="2:14" x14ac:dyDescent="0.2">
      <c r="B24" s="10">
        <v>667.7</v>
      </c>
      <c r="H24" s="9">
        <f xml:space="preserve"> B24-$F$11</f>
        <v>-75.327083333333121</v>
      </c>
      <c r="M24" s="7">
        <f>H24/$K$11</f>
        <v>-1.0185796608739719</v>
      </c>
      <c r="N24" s="9"/>
    </row>
    <row r="25" spans="2:14" x14ac:dyDescent="0.2">
      <c r="B25" s="10">
        <v>668.95</v>
      </c>
      <c r="H25" s="9">
        <f xml:space="preserve"> B25-$F$11</f>
        <v>-74.077083333333121</v>
      </c>
      <c r="M25" s="7">
        <f>H25/$K$11</f>
        <v>-1.0016770473683052</v>
      </c>
      <c r="N25" s="9"/>
    </row>
    <row r="26" spans="2:14" x14ac:dyDescent="0.2">
      <c r="B26" s="10">
        <v>675.2833333333333</v>
      </c>
      <c r="H26" s="9">
        <f xml:space="preserve"> B26-$F$11</f>
        <v>-67.743749999999864</v>
      </c>
      <c r="M26" s="7">
        <f>H26/$K$11</f>
        <v>-0.91603713893959593</v>
      </c>
      <c r="N26" s="9"/>
    </row>
    <row r="27" spans="2:14" x14ac:dyDescent="0.2">
      <c r="B27" s="10">
        <v>675.7833333333333</v>
      </c>
      <c r="H27" s="9">
        <f xml:space="preserve"> B27-$F$11</f>
        <v>-67.243749999999864</v>
      </c>
      <c r="M27" s="7">
        <f>H27/$K$11</f>
        <v>-0.9092760935373293</v>
      </c>
      <c r="N27" s="9"/>
    </row>
    <row r="28" spans="2:14" x14ac:dyDescent="0.2">
      <c r="B28" s="10">
        <v>685.5333333333333</v>
      </c>
      <c r="H28" s="9">
        <f xml:space="preserve"> B28-$F$11</f>
        <v>-57.493749999999864</v>
      </c>
      <c r="M28" s="7">
        <f>H28/$K$11</f>
        <v>-0.77743570819313035</v>
      </c>
      <c r="N28" s="9"/>
    </row>
    <row r="29" spans="2:14" x14ac:dyDescent="0.2">
      <c r="B29" s="10">
        <v>694.2833333333333</v>
      </c>
      <c r="H29" s="9">
        <f xml:space="preserve"> B29-$F$11</f>
        <v>-48.743749999999864</v>
      </c>
      <c r="M29" s="7">
        <f>H29/$K$11</f>
        <v>-0.65911741365346466</v>
      </c>
      <c r="N29" s="9"/>
    </row>
    <row r="30" spans="2:14" x14ac:dyDescent="0.2">
      <c r="B30" s="10">
        <v>697.61666666666679</v>
      </c>
      <c r="H30" s="9">
        <f xml:space="preserve"> B30-$F$11</f>
        <v>-45.410416666666379</v>
      </c>
      <c r="M30" s="7">
        <f>H30/$K$11</f>
        <v>-0.61404377763835183</v>
      </c>
      <c r="N30" s="9"/>
    </row>
    <row r="31" spans="2:14" x14ac:dyDescent="0.2">
      <c r="B31" s="10">
        <v>705.7833333333333</v>
      </c>
      <c r="H31" s="9">
        <f xml:space="preserve"> B31-$F$11</f>
        <v>-37.243749999999864</v>
      </c>
      <c r="M31" s="7">
        <f>H31/$K$11</f>
        <v>-0.5036133694013325</v>
      </c>
      <c r="N31" s="9"/>
    </row>
    <row r="32" spans="2:14" x14ac:dyDescent="0.2">
      <c r="B32" s="10">
        <v>705.86666666666679</v>
      </c>
      <c r="H32" s="9">
        <f xml:space="preserve"> B32-$F$11</f>
        <v>-37.160416666666379</v>
      </c>
      <c r="M32" s="7">
        <f>H32/$K$11</f>
        <v>-0.50248652850095266</v>
      </c>
      <c r="N32" s="9"/>
    </row>
    <row r="33" spans="2:14" x14ac:dyDescent="0.2">
      <c r="B33" s="10">
        <v>708.11666666666679</v>
      </c>
      <c r="H33" s="9">
        <f xml:space="preserve"> B33-$F$11</f>
        <v>-34.910416666666379</v>
      </c>
      <c r="M33" s="7">
        <f>H33/$K$11</f>
        <v>-0.47206182419075293</v>
      </c>
      <c r="N33" s="9"/>
    </row>
    <row r="34" spans="2:14" x14ac:dyDescent="0.2">
      <c r="B34" s="10">
        <v>711.0333333333333</v>
      </c>
      <c r="H34" s="9">
        <f xml:space="preserve"> B34-$F$11</f>
        <v>-31.993749999999864</v>
      </c>
      <c r="M34" s="7">
        <f>H34/$K$11</f>
        <v>-0.43262239267753305</v>
      </c>
      <c r="N34" s="9"/>
    </row>
    <row r="35" spans="2:14" x14ac:dyDescent="0.2">
      <c r="B35" s="10">
        <v>714.0333333333333</v>
      </c>
      <c r="H35" s="9">
        <f xml:space="preserve"> B35-$F$11</f>
        <v>-28.993749999999864</v>
      </c>
      <c r="M35" s="7">
        <f>H35/$K$11</f>
        <v>-0.39205612026393338</v>
      </c>
      <c r="N35" s="9"/>
    </row>
    <row r="36" spans="2:14" x14ac:dyDescent="0.2">
      <c r="B36" s="10">
        <v>716.0333333333333</v>
      </c>
      <c r="H36" s="9">
        <f xml:space="preserve"> B36-$F$11</f>
        <v>-26.993749999999864</v>
      </c>
      <c r="M36" s="7">
        <f>H36/$K$11</f>
        <v>-0.36501193865486692</v>
      </c>
      <c r="N36" s="9"/>
    </row>
    <row r="37" spans="2:14" x14ac:dyDescent="0.2">
      <c r="B37" s="10">
        <v>722.2833333333333</v>
      </c>
      <c r="H37" s="9">
        <f xml:space="preserve"> B37-$F$11</f>
        <v>-20.743749999999864</v>
      </c>
      <c r="M37" s="7">
        <f>H37/$K$11</f>
        <v>-0.28049887112653427</v>
      </c>
      <c r="N37" s="9"/>
    </row>
    <row r="38" spans="2:14" x14ac:dyDescent="0.2">
      <c r="B38" s="10">
        <v>728.11666666666679</v>
      </c>
      <c r="H38" s="9">
        <f xml:space="preserve"> B38-$F$11</f>
        <v>-14.910416666666379</v>
      </c>
      <c r="M38" s="7">
        <f>H38/$K$11</f>
        <v>-0.2016200081000884</v>
      </c>
      <c r="N38" s="9"/>
    </row>
    <row r="39" spans="2:14" x14ac:dyDescent="0.2">
      <c r="B39" s="10">
        <v>728.7</v>
      </c>
      <c r="H39" s="9">
        <f xml:space="preserve"> B39-$F$11</f>
        <v>-14.327083333333121</v>
      </c>
      <c r="M39" s="7">
        <f>H39/$K$11</f>
        <v>-0.19373212179744503</v>
      </c>
      <c r="N39" s="9"/>
    </row>
    <row r="40" spans="2:14" x14ac:dyDescent="0.2">
      <c r="B40" s="10">
        <v>729.0333333333333</v>
      </c>
      <c r="H40" s="9">
        <f xml:space="preserve"> B40-$F$11</f>
        <v>-13.993749999999864</v>
      </c>
      <c r="M40" s="7">
        <f>H40/$K$11</f>
        <v>-0.18922475819593498</v>
      </c>
      <c r="N40" s="9"/>
    </row>
    <row r="41" spans="2:14" x14ac:dyDescent="0.2">
      <c r="B41" s="10">
        <v>730.11666666666679</v>
      </c>
      <c r="H41" s="9">
        <f xml:space="preserve"> B41-$F$11</f>
        <v>-12.910416666666379</v>
      </c>
      <c r="M41" s="7">
        <f>H41/$K$11</f>
        <v>-0.17457582649102193</v>
      </c>
      <c r="N41" s="9"/>
    </row>
    <row r="42" spans="2:14" x14ac:dyDescent="0.2">
      <c r="B42" s="10">
        <v>731.95</v>
      </c>
      <c r="H42" s="9">
        <f xml:space="preserve"> B42-$F$11</f>
        <v>-11.077083333333121</v>
      </c>
      <c r="M42" s="7">
        <f>H42/$K$11</f>
        <v>-0.14978532668271205</v>
      </c>
      <c r="N42" s="9"/>
    </row>
    <row r="43" spans="2:14" x14ac:dyDescent="0.2">
      <c r="B43" s="10">
        <v>735.0333333333333</v>
      </c>
      <c r="H43" s="9">
        <f xml:space="preserve"> B43-$F$11</f>
        <v>-7.9937499999998636</v>
      </c>
      <c r="M43" s="7">
        <f>H43/$K$11</f>
        <v>-0.10809221336873563</v>
      </c>
      <c r="N43" s="9"/>
    </row>
    <row r="44" spans="2:14" x14ac:dyDescent="0.2">
      <c r="B44" s="10">
        <v>736.95</v>
      </c>
      <c r="H44" s="9">
        <f xml:space="preserve"> B44-$F$11</f>
        <v>-6.0770833333331211</v>
      </c>
      <c r="M44" s="7">
        <f>H44/$K$11</f>
        <v>-8.2174872660045931E-2</v>
      </c>
      <c r="N44" s="9"/>
    </row>
    <row r="45" spans="2:14" x14ac:dyDescent="0.2">
      <c r="B45" s="10">
        <v>737.36666666666679</v>
      </c>
      <c r="H45" s="9">
        <f xml:space="preserve"> B45-$F$11</f>
        <v>-5.6604166666663787</v>
      </c>
      <c r="M45" s="7">
        <f>H45/$K$11</f>
        <v>-7.654066815815605E-2</v>
      </c>
      <c r="N45" s="9"/>
    </row>
    <row r="46" spans="2:14" x14ac:dyDescent="0.2">
      <c r="B46" s="10">
        <v>738.2833333333333</v>
      </c>
      <c r="H46" s="9">
        <f xml:space="preserve"> B46-$F$11</f>
        <v>-4.7437499999998636</v>
      </c>
      <c r="M46" s="7">
        <f>H46/$K$11</f>
        <v>-6.4145418254002648E-2</v>
      </c>
      <c r="N46" s="9"/>
    </row>
    <row r="47" spans="2:14" x14ac:dyDescent="0.2">
      <c r="B47" s="10">
        <v>739.7833333333333</v>
      </c>
      <c r="H47" s="9">
        <f xml:space="preserve"> B47-$F$11</f>
        <v>-3.2437499999998636</v>
      </c>
      <c r="M47" s="7">
        <f>H47/$K$11</f>
        <v>-4.3862282047202807E-2</v>
      </c>
      <c r="N47" s="9"/>
    </row>
    <row r="48" spans="2:14" x14ac:dyDescent="0.2">
      <c r="B48" s="10">
        <v>740.61666666666679</v>
      </c>
      <c r="H48" s="9">
        <f xml:space="preserve"> B48-$F$11</f>
        <v>-2.4104166666663787</v>
      </c>
      <c r="M48" s="7">
        <f>H48/$K$11</f>
        <v>-3.2593873043423073E-2</v>
      </c>
      <c r="N48" s="9"/>
    </row>
    <row r="49" spans="2:14" x14ac:dyDescent="0.2">
      <c r="B49" s="10">
        <v>743.61666666666679</v>
      </c>
      <c r="H49" s="9">
        <f xml:space="preserve"> B49-$F$11</f>
        <v>0.58958333333362134</v>
      </c>
      <c r="M49" s="7">
        <f>H49/$K$11</f>
        <v>7.9723993701766097E-3</v>
      </c>
      <c r="N49" s="9"/>
    </row>
    <row r="50" spans="2:14" x14ac:dyDescent="0.2">
      <c r="B50" s="10">
        <v>747.2</v>
      </c>
      <c r="H50" s="9">
        <f xml:space="preserve"> B50-$F$11</f>
        <v>4.1729166666668789</v>
      </c>
      <c r="M50" s="7">
        <f>H50/$K$11</f>
        <v>5.6426558086419644E-2</v>
      </c>
      <c r="N50" s="9"/>
    </row>
    <row r="51" spans="2:14" x14ac:dyDescent="0.2">
      <c r="B51" s="10">
        <v>748.2</v>
      </c>
      <c r="H51" s="9">
        <f xml:space="preserve"> B51-$F$11</f>
        <v>5.1729166666668789</v>
      </c>
      <c r="M51" s="7">
        <f>H51/$K$11</f>
        <v>6.9948648890952869E-2</v>
      </c>
      <c r="N51" s="9"/>
    </row>
    <row r="52" spans="2:14" x14ac:dyDescent="0.2">
      <c r="B52" s="10">
        <v>748.2833333333333</v>
      </c>
      <c r="H52" s="9">
        <f xml:space="preserve"> B52-$F$11</f>
        <v>5.2562500000001364</v>
      </c>
      <c r="M52" s="7">
        <f>H52/$K$11</f>
        <v>7.1075489791329619E-2</v>
      </c>
      <c r="N52" s="9"/>
    </row>
    <row r="53" spans="2:14" x14ac:dyDescent="0.2">
      <c r="B53" s="10">
        <v>748.5333333333333</v>
      </c>
      <c r="H53" s="9">
        <f xml:space="preserve"> B53-$F$11</f>
        <v>5.5062500000001364</v>
      </c>
      <c r="M53" s="7">
        <f>H53/$K$11</f>
        <v>7.445601249246292E-2</v>
      </c>
      <c r="N53" s="9"/>
    </row>
    <row r="54" spans="2:14" x14ac:dyDescent="0.2">
      <c r="B54" s="10">
        <v>750.0333333333333</v>
      </c>
      <c r="H54" s="9">
        <f xml:space="preserve"> B54-$F$11</f>
        <v>7.0062500000001364</v>
      </c>
      <c r="M54" s="7">
        <f>H54/$K$11</f>
        <v>9.4739148699262768E-2</v>
      </c>
      <c r="N54" s="9"/>
    </row>
    <row r="55" spans="2:14" x14ac:dyDescent="0.2">
      <c r="B55" s="10">
        <v>752.11666666666679</v>
      </c>
      <c r="H55" s="9">
        <f xml:space="preserve"> B55-$F$11</f>
        <v>9.0895833333336213</v>
      </c>
      <c r="M55" s="7">
        <f>H55/$K$11</f>
        <v>0.12291017120870903</v>
      </c>
      <c r="N55" s="9"/>
    </row>
    <row r="56" spans="2:14" x14ac:dyDescent="0.2">
      <c r="B56" s="10">
        <v>754.7</v>
      </c>
      <c r="H56" s="9">
        <f xml:space="preserve"> B56-$F$11</f>
        <v>11.672916666666879</v>
      </c>
      <c r="M56" s="7">
        <f>H56/$K$11</f>
        <v>0.15784223912041884</v>
      </c>
      <c r="N56" s="9"/>
    </row>
    <row r="57" spans="2:14" x14ac:dyDescent="0.2">
      <c r="B57" s="10">
        <v>755.0333333333333</v>
      </c>
      <c r="H57" s="9">
        <f xml:space="preserve"> B57-$F$11</f>
        <v>12.006250000000136</v>
      </c>
      <c r="M57" s="7">
        <f>H57/$K$11</f>
        <v>0.16234960272192889</v>
      </c>
      <c r="N57" s="9"/>
    </row>
    <row r="58" spans="2:14" x14ac:dyDescent="0.2">
      <c r="B58" s="10">
        <v>758.36666666666667</v>
      </c>
      <c r="H58" s="9">
        <f xml:space="preserve"> B58-$F$11</f>
        <v>15.339583333333508</v>
      </c>
      <c r="M58" s="7">
        <f>H58/$K$11</f>
        <v>0.20742323873704016</v>
      </c>
      <c r="N58" s="9"/>
    </row>
    <row r="59" spans="2:14" x14ac:dyDescent="0.2">
      <c r="B59" s="10">
        <v>760.53333333333342</v>
      </c>
      <c r="H59" s="9">
        <f xml:space="preserve"> B59-$F$11</f>
        <v>17.50625000000025</v>
      </c>
      <c r="M59" s="7">
        <f>H59/$K$11</f>
        <v>0.23672110214686318</v>
      </c>
      <c r="N59" s="9"/>
    </row>
    <row r="60" spans="2:14" x14ac:dyDescent="0.2">
      <c r="B60" s="10">
        <v>764.03333333333342</v>
      </c>
      <c r="H60" s="9">
        <f xml:space="preserve"> B60-$F$11</f>
        <v>21.00625000000025</v>
      </c>
      <c r="M60" s="7">
        <f>H60/$K$11</f>
        <v>0.28404841996272945</v>
      </c>
      <c r="N60" s="9"/>
    </row>
    <row r="61" spans="2:14" x14ac:dyDescent="0.2">
      <c r="B61" s="10">
        <v>769.28333333333342</v>
      </c>
      <c r="H61" s="9">
        <f xml:space="preserve"> B61-$F$11</f>
        <v>26.25625000000025</v>
      </c>
      <c r="M61" s="7">
        <f>H61/$K$11</f>
        <v>0.3550393966865289</v>
      </c>
      <c r="N61" s="9"/>
    </row>
    <row r="62" spans="2:14" x14ac:dyDescent="0.2">
      <c r="B62" s="10">
        <v>775.45</v>
      </c>
      <c r="H62" s="9">
        <f xml:space="preserve"> B62-$F$11</f>
        <v>32.422916666666879</v>
      </c>
      <c r="M62" s="7">
        <f>H62/$K$11</f>
        <v>0.43842562331448326</v>
      </c>
      <c r="N62" s="9"/>
    </row>
    <row r="63" spans="2:14" x14ac:dyDescent="0.2">
      <c r="B63" s="10">
        <v>781.2</v>
      </c>
      <c r="H63" s="9">
        <f xml:space="preserve"> B63-$F$11</f>
        <v>38.172916666666879</v>
      </c>
      <c r="M63" s="7">
        <f>H63/$K$11</f>
        <v>0.51617764544054934</v>
      </c>
      <c r="N63" s="9"/>
    </row>
    <row r="64" spans="2:14" x14ac:dyDescent="0.2">
      <c r="B64" s="10">
        <v>781.7</v>
      </c>
      <c r="H64" s="9">
        <f xml:space="preserve"> B64-$F$11</f>
        <v>38.672916666666879</v>
      </c>
      <c r="M64" s="7">
        <f>H64/$K$11</f>
        <v>0.52293869084281597</v>
      </c>
      <c r="N64" s="9"/>
    </row>
    <row r="65" spans="2:14" x14ac:dyDescent="0.2">
      <c r="B65" s="10">
        <v>785.61666666666667</v>
      </c>
      <c r="H65" s="9">
        <f xml:space="preserve"> B65-$F$11</f>
        <v>42.589583333333508</v>
      </c>
      <c r="M65" s="7">
        <f>H65/$K$11</f>
        <v>0.57590021316057061</v>
      </c>
      <c r="N65" s="9"/>
    </row>
    <row r="66" spans="2:14" x14ac:dyDescent="0.2">
      <c r="B66" s="10">
        <v>792.78333333333342</v>
      </c>
      <c r="H66" s="9">
        <f xml:space="preserve"> B66-$F$11</f>
        <v>49.75625000000025</v>
      </c>
      <c r="M66" s="7">
        <f>H66/$K$11</f>
        <v>0.67280853059305967</v>
      </c>
      <c r="N66" s="9"/>
    </row>
    <row r="67" spans="2:14" x14ac:dyDescent="0.2">
      <c r="B67" s="10">
        <v>793.36666666666667</v>
      </c>
      <c r="H67" s="9">
        <f xml:space="preserve"> B67-$F$11</f>
        <v>50.339583333333508</v>
      </c>
      <c r="M67" s="7">
        <f>H67/$K$11</f>
        <v>0.68069641689570304</v>
      </c>
      <c r="N67" s="9"/>
    </row>
    <row r="68" spans="2:14" x14ac:dyDescent="0.2">
      <c r="B68" s="10">
        <v>795.28333333333342</v>
      </c>
      <c r="H68" s="9">
        <f xml:space="preserve"> B68-$F$11</f>
        <v>52.25625000000025</v>
      </c>
      <c r="M68" s="7">
        <f>H68/$K$11</f>
        <v>0.70661375760439282</v>
      </c>
      <c r="N68" s="9"/>
    </row>
    <row r="69" spans="2:14" x14ac:dyDescent="0.2">
      <c r="B69" s="10">
        <v>797.61666666666667</v>
      </c>
      <c r="H69" s="9">
        <f xml:space="preserve"> B69-$F$11</f>
        <v>54.589583333333508</v>
      </c>
      <c r="M69" s="7">
        <f>H69/$K$11</f>
        <v>0.73816530281496928</v>
      </c>
      <c r="N69" s="9"/>
    </row>
    <row r="70" spans="2:14" x14ac:dyDescent="0.2">
      <c r="B70" s="10">
        <v>798.95</v>
      </c>
      <c r="H70" s="9">
        <f xml:space="preserve"> B70-$F$11</f>
        <v>55.922916666666879</v>
      </c>
      <c r="M70" s="7">
        <f>H70/$K$11</f>
        <v>0.75619475722101415</v>
      </c>
      <c r="N70" s="9"/>
    </row>
    <row r="71" spans="2:14" x14ac:dyDescent="0.2">
      <c r="B71" s="10">
        <v>799.7</v>
      </c>
      <c r="H71" s="9">
        <f xml:space="preserve"> B71-$F$11</f>
        <v>56.672916666666879</v>
      </c>
      <c r="M71" s="7">
        <f>H71/$K$11</f>
        <v>0.76633632532441398</v>
      </c>
      <c r="N71" s="9"/>
    </row>
    <row r="72" spans="2:14" x14ac:dyDescent="0.2">
      <c r="B72" s="10">
        <v>799.95</v>
      </c>
      <c r="H72" s="9">
        <f xml:space="preserve"> B72-$F$11</f>
        <v>56.922916666666879</v>
      </c>
      <c r="M72" s="7">
        <f>H72/$K$11</f>
        <v>0.7697168480255473</v>
      </c>
      <c r="N72" s="9"/>
    </row>
    <row r="73" spans="2:14" x14ac:dyDescent="0.2">
      <c r="B73" s="10">
        <v>810.86666666666667</v>
      </c>
      <c r="H73" s="9">
        <f xml:space="preserve"> B73-$F$11</f>
        <v>67.839583333333508</v>
      </c>
      <c r="M73" s="7">
        <f>H73/$K$11</f>
        <v>0.91733300597503453</v>
      </c>
      <c r="N73" s="9"/>
    </row>
    <row r="74" spans="2:14" x14ac:dyDescent="0.2">
      <c r="B74" s="10">
        <v>811.53333333333342</v>
      </c>
      <c r="H74" s="9">
        <f xml:space="preserve"> B74-$F$11</f>
        <v>68.50625000000025</v>
      </c>
      <c r="M74" s="7">
        <f>H74/$K$11</f>
        <v>0.92634773317805774</v>
      </c>
      <c r="N74" s="9"/>
    </row>
    <row r="75" spans="2:14" x14ac:dyDescent="0.2">
      <c r="B75" s="10">
        <v>813.61666666666667</v>
      </c>
      <c r="H75" s="9">
        <f xml:space="preserve"> B75-$F$11</f>
        <v>70.589583333333508</v>
      </c>
      <c r="M75" s="7">
        <f>H75/$K$11</f>
        <v>0.95451875568750089</v>
      </c>
      <c r="N75" s="9"/>
    </row>
    <row r="76" spans="2:14" x14ac:dyDescent="0.2">
      <c r="B76" s="10">
        <v>814.03333333333342</v>
      </c>
      <c r="H76" s="9">
        <f xml:space="preserve"> B76-$F$11</f>
        <v>71.00625000000025</v>
      </c>
      <c r="M76" s="7">
        <f t="shared" ref="M76:M90" si="0">H76/$K$11</f>
        <v>0.96015296018939078</v>
      </c>
      <c r="N76" s="9"/>
    </row>
    <row r="77" spans="2:14" x14ac:dyDescent="0.2">
      <c r="B77" s="10">
        <v>814.78333333333342</v>
      </c>
      <c r="H77" s="9">
        <f xml:space="preserve"> B77-$F$11</f>
        <v>71.75625000000025</v>
      </c>
      <c r="M77" s="7">
        <f t="shared" si="0"/>
        <v>0.97029452829279073</v>
      </c>
      <c r="N77" s="9"/>
    </row>
    <row r="78" spans="2:14" x14ac:dyDescent="0.2">
      <c r="B78" s="10">
        <v>817.86666666666667</v>
      </c>
      <c r="H78" s="9">
        <f xml:space="preserve"> B78-$F$11</f>
        <v>74.839583333333508</v>
      </c>
      <c r="M78" s="7">
        <f t="shared" si="0"/>
        <v>1.011987641606767</v>
      </c>
      <c r="N78" s="9"/>
    </row>
    <row r="79" spans="2:14" x14ac:dyDescent="0.2">
      <c r="B79" s="10">
        <v>818.86666666666667</v>
      </c>
      <c r="H79" s="9">
        <f xml:space="preserve"> B79-$F$11</f>
        <v>75.839583333333508</v>
      </c>
      <c r="M79" s="7">
        <f t="shared" si="0"/>
        <v>1.0255097324113003</v>
      </c>
      <c r="N79" s="9"/>
    </row>
    <row r="80" spans="2:14" x14ac:dyDescent="0.2">
      <c r="B80" s="10">
        <v>820.7</v>
      </c>
      <c r="H80" s="9">
        <f xml:space="preserve"> B80-$F$11</f>
        <v>77.672916666666879</v>
      </c>
      <c r="M80" s="7">
        <f t="shared" si="0"/>
        <v>1.0503002322196118</v>
      </c>
      <c r="N80" s="9"/>
    </row>
    <row r="81" spans="2:14" x14ac:dyDescent="0.2">
      <c r="B81" s="10">
        <v>821.11666666666667</v>
      </c>
      <c r="H81" s="9">
        <f xml:space="preserve"> B81-$F$11</f>
        <v>78.089583333333508</v>
      </c>
      <c r="M81" s="7">
        <f t="shared" si="0"/>
        <v>1.0559344367215</v>
      </c>
      <c r="N81" s="9"/>
    </row>
    <row r="82" spans="2:14" x14ac:dyDescent="0.2">
      <c r="B82" s="10">
        <v>825.61666666666667</v>
      </c>
      <c r="H82" s="9">
        <f xml:space="preserve"> B82-$F$11</f>
        <v>82.589583333333508</v>
      </c>
      <c r="M82" s="7">
        <f t="shared" si="0"/>
        <v>1.1167838453418997</v>
      </c>
      <c r="N82" s="9"/>
    </row>
    <row r="83" spans="2:14" x14ac:dyDescent="0.2">
      <c r="B83" s="10">
        <v>828.61666666666667</v>
      </c>
      <c r="H83" s="9">
        <f xml:space="preserve"> B83-$F$11</f>
        <v>85.589583333333508</v>
      </c>
      <c r="M83" s="7">
        <f t="shared" si="0"/>
        <v>1.1573501177554992</v>
      </c>
      <c r="N83" s="9"/>
    </row>
    <row r="84" spans="2:14" x14ac:dyDescent="0.2">
      <c r="B84" s="10">
        <v>841.45</v>
      </c>
      <c r="H84" s="9">
        <f xml:space="preserve"> B84-$F$11</f>
        <v>98.422916666666879</v>
      </c>
      <c r="M84" s="7">
        <f t="shared" si="0"/>
        <v>1.3308836164136761</v>
      </c>
      <c r="N84" s="9"/>
    </row>
    <row r="85" spans="2:14" x14ac:dyDescent="0.2">
      <c r="B85" s="10">
        <v>842.03333333333342</v>
      </c>
      <c r="H85" s="9">
        <f xml:space="preserve"> B85-$F$11</f>
        <v>99.00625000000025</v>
      </c>
      <c r="M85" s="7">
        <f t="shared" si="0"/>
        <v>1.3387715027163212</v>
      </c>
      <c r="N85" s="9"/>
    </row>
    <row r="86" spans="2:14" x14ac:dyDescent="0.2">
      <c r="B86" s="10">
        <v>842.86666666666667</v>
      </c>
      <c r="H86" s="9">
        <f xml:space="preserve"> B86-$F$11</f>
        <v>99.839583333333508</v>
      </c>
      <c r="M86" s="7">
        <f t="shared" si="0"/>
        <v>1.3500399117200979</v>
      </c>
      <c r="N86" s="9"/>
    </row>
    <row r="87" spans="2:14" x14ac:dyDescent="0.2">
      <c r="B87" s="10">
        <v>849.61666666666667</v>
      </c>
      <c r="H87" s="9">
        <f xml:space="preserve"> B87-$F$11</f>
        <v>106.58958333333351</v>
      </c>
      <c r="M87" s="7">
        <f t="shared" si="0"/>
        <v>1.441314024650697</v>
      </c>
      <c r="N87" s="9"/>
    </row>
    <row r="88" spans="2:14" x14ac:dyDescent="0.2">
      <c r="B88" s="10">
        <v>874.7</v>
      </c>
      <c r="H88" s="9">
        <f xml:space="preserve"> B88-$F$11</f>
        <v>131.67291666666688</v>
      </c>
      <c r="M88" s="7">
        <f t="shared" si="0"/>
        <v>1.780493135664406</v>
      </c>
      <c r="N88" s="9"/>
    </row>
    <row r="89" spans="2:14" x14ac:dyDescent="0.2">
      <c r="B89" s="10">
        <v>878.78333333333342</v>
      </c>
      <c r="H89" s="9">
        <f xml:space="preserve"> B89-$F$11</f>
        <v>135.75625000000025</v>
      </c>
      <c r="M89" s="7">
        <f t="shared" si="0"/>
        <v>1.8357083397829173</v>
      </c>
      <c r="N89" s="9"/>
    </row>
    <row r="90" spans="2:14" x14ac:dyDescent="0.2">
      <c r="B90" s="11">
        <v>897.45</v>
      </c>
      <c r="H90" s="9">
        <f xml:space="preserve"> B90-$F$11</f>
        <v>154.42291666666688</v>
      </c>
      <c r="M90" s="7">
        <f t="shared" si="0"/>
        <v>2.0881207014675369</v>
      </c>
      <c r="N90" s="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 normal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asus</cp:lastModifiedBy>
  <dcterms:created xsi:type="dcterms:W3CDTF">2017-05-03T15:18:51Z</dcterms:created>
  <dcterms:modified xsi:type="dcterms:W3CDTF">2024-12-22T08:09:30Z</dcterms:modified>
</cp:coreProperties>
</file>