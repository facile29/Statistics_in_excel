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84e1f40a1d74f/Desktop/statistics/"/>
    </mc:Choice>
  </mc:AlternateContent>
  <xr:revisionPtr revIDLastSave="0" documentId="8_{D5AE431D-160B-4B01-9647-EC87DCE6C8D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ovariance" sheetId="13" r:id="rId1"/>
    <sheet name="cov" sheetId="10" state="hidden" r:id="rId2"/>
    <sheet name="Covariance2" sheetId="11" state="hidden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3" l="1"/>
  <c r="G17" i="13"/>
  <c r="G13" i="13"/>
  <c r="G14" i="13"/>
  <c r="G15" i="13"/>
  <c r="G16" i="13"/>
  <c r="G12" i="13"/>
  <c r="D17" i="13"/>
  <c r="C17" i="13"/>
  <c r="D11" i="10" l="1"/>
  <c r="C11" i="10"/>
  <c r="G6" i="10" s="1"/>
  <c r="D11" i="11"/>
  <c r="C11" i="11"/>
  <c r="G6" i="11" s="1"/>
  <c r="G9" i="10" l="1"/>
  <c r="G10" i="10"/>
  <c r="G8" i="10"/>
  <c r="G7" i="10"/>
  <c r="G8" i="11"/>
  <c r="G11" i="11" s="1"/>
  <c r="G13" i="11" s="1"/>
  <c r="G9" i="11"/>
  <c r="G10" i="11"/>
  <c r="G7" i="11"/>
  <c r="G11" i="10" l="1"/>
  <c r="G13" i="10" s="1"/>
</calcChain>
</file>

<file path=xl/sharedStrings.xml><?xml version="1.0" encoding="utf-8"?>
<sst xmlns="http://schemas.openxmlformats.org/spreadsheetml/2006/main" count="35" uniqueCount="21">
  <si>
    <t>Housing data</t>
  </si>
  <si>
    <t>Covariance</t>
  </si>
  <si>
    <t>Mean</t>
  </si>
  <si>
    <t>(x-x̅)*(y-ȳ)</t>
  </si>
  <si>
    <t>Sum</t>
  </si>
  <si>
    <t>Sample size</t>
  </si>
  <si>
    <t>Cov. Sample</t>
  </si>
  <si>
    <t>Size (ft.)</t>
  </si>
  <si>
    <t>Price ($)</t>
  </si>
  <si>
    <t>Background</t>
  </si>
  <si>
    <t>Task 1</t>
  </si>
  <si>
    <t>Task 2</t>
  </si>
  <si>
    <t>Determine if this is sample or population</t>
  </si>
  <si>
    <t>Calculate the covariance of the two datasets</t>
  </si>
  <si>
    <t>You are given data on the SAT reading and writing scores of several students from our lesson on cross tables and scatter plots</t>
  </si>
  <si>
    <t>Reading</t>
  </si>
  <si>
    <t>Writing</t>
  </si>
  <si>
    <t>Task 3</t>
  </si>
  <si>
    <t>Plot the data on scatter plot and using your previous knowledge comment on whether there is a noticeable relationship between the two variables.</t>
  </si>
  <si>
    <t>SAT scores</t>
  </si>
  <si>
    <t>Sample Covariance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</si>
</sst>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_);\-\ #,##0_)"/>
    <numFmt numFmtId="166" formatCode="#,##0.00_);\-\ #,##0.00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rgb="FF00206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4" fontId="2" fillId="2" borderId="0" xfId="1" applyNumberFormat="1" applyFont="1" applyFill="1"/>
    <xf numFmtId="0" fontId="5" fillId="2" borderId="0" xfId="0" applyFont="1" applyFill="1"/>
    <xf numFmtId="0" fontId="2" fillId="2" borderId="2" xfId="0" applyFont="1" applyFill="1" applyBorder="1"/>
    <xf numFmtId="164" fontId="2" fillId="2" borderId="2" xfId="1" applyNumberFormat="1" applyFont="1" applyFill="1" applyBorder="1"/>
    <xf numFmtId="43" fontId="2" fillId="2" borderId="0" xfId="1" applyNumberFormat="1" applyFont="1" applyFill="1"/>
    <xf numFmtId="43" fontId="2" fillId="2" borderId="0" xfId="0" applyNumberFormat="1" applyFont="1" applyFill="1"/>
    <xf numFmtId="0" fontId="5" fillId="2" borderId="0" xfId="0" applyFont="1" applyFill="1" applyAlignment="1">
      <alignment horizontal="right"/>
    </xf>
    <xf numFmtId="165" fontId="2" fillId="2" borderId="0" xfId="1" applyNumberFormat="1" applyFont="1" applyFill="1"/>
    <xf numFmtId="165" fontId="2" fillId="2" borderId="2" xfId="1" applyNumberFormat="1" applyFont="1" applyFill="1" applyBorder="1"/>
    <xf numFmtId="0" fontId="2" fillId="2" borderId="0" xfId="0" applyFont="1" applyFill="1" applyBorder="1"/>
    <xf numFmtId="0" fontId="5" fillId="2" borderId="0" xfId="0" applyFont="1" applyFill="1" applyBorder="1"/>
    <xf numFmtId="43" fontId="2" fillId="2" borderId="0" xfId="0" applyNumberFormat="1" applyFont="1" applyFill="1" applyBorder="1"/>
    <xf numFmtId="164" fontId="2" fillId="2" borderId="0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43" fontId="2" fillId="2" borderId="0" xfId="1" applyFont="1" applyFill="1"/>
    <xf numFmtId="166" fontId="2" fillId="2" borderId="0" xfId="1" applyNumberFormat="1" applyFont="1" applyFill="1"/>
    <xf numFmtId="166" fontId="2" fillId="2" borderId="0" xfId="1" applyNumberFormat="1" applyFont="1" applyFill="1" applyBorder="1"/>
    <xf numFmtId="166" fontId="2" fillId="2" borderId="3" xfId="0" applyNumberFormat="1" applyFont="1" applyFill="1" applyBorder="1"/>
    <xf numFmtId="166" fontId="2" fillId="2" borderId="4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58-4CAA-9720-9A508E4945FE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58-4CAA-9720-9A508E494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510080"/>
        <c:axId val="386202608"/>
      </c:scatterChart>
      <c:valAx>
        <c:axId val="38851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202608"/>
        <c:crosses val="autoZero"/>
        <c:crossBetween val="midCat"/>
      </c:valAx>
      <c:valAx>
        <c:axId val="3862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100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DFB-8586-732A1FE2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8</xdr:row>
      <xdr:rowOff>45720</xdr:rowOff>
    </xdr:from>
    <xdr:to>
      <xdr:col>14</xdr:col>
      <xdr:colOff>198120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1D8FA-907B-468A-BB13-33CEB964F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8977-9956-4A25-BADE-F6177488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M23"/>
  <sheetViews>
    <sheetView tabSelected="1" zoomScaleNormal="100" workbookViewId="0">
      <selection activeCell="S1" sqref="S1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11.109375" style="1" customWidth="1"/>
    <col min="5" max="5" width="9.109375" style="1"/>
    <col min="6" max="6" width="18.77734375" style="1" customWidth="1"/>
    <col min="7" max="7" width="14" style="1" customWidth="1"/>
    <col min="8" max="11" width="9.109375" style="1"/>
    <col min="12" max="12" width="4.88671875" style="1" customWidth="1"/>
    <col min="13" max="16384" width="9.109375" style="1"/>
  </cols>
  <sheetData>
    <row r="1" spans="2:13" ht="15.6" x14ac:dyDescent="0.3">
      <c r="B1" s="2" t="s">
        <v>1</v>
      </c>
      <c r="F1" s="13"/>
      <c r="G1" s="13"/>
      <c r="H1" s="13"/>
    </row>
    <row r="2" spans="2:13" ht="12" x14ac:dyDescent="0.25">
      <c r="B2" s="5" t="s">
        <v>19</v>
      </c>
      <c r="F2" s="13"/>
      <c r="G2" s="13"/>
      <c r="H2" s="13"/>
    </row>
    <row r="3" spans="2:13" ht="12" x14ac:dyDescent="0.25">
      <c r="B3" s="5"/>
      <c r="F3" s="13"/>
      <c r="G3" s="13"/>
      <c r="H3" s="13"/>
    </row>
    <row r="4" spans="2:13" ht="12" x14ac:dyDescent="0.25">
      <c r="B4" s="5" t="s">
        <v>9</v>
      </c>
      <c r="D4" s="1" t="s">
        <v>14</v>
      </c>
      <c r="F4" s="13"/>
      <c r="G4" s="13"/>
      <c r="H4" s="13"/>
    </row>
    <row r="5" spans="2:13" ht="12" x14ac:dyDescent="0.25">
      <c r="B5" s="5" t="s">
        <v>10</v>
      </c>
      <c r="D5" s="1" t="s">
        <v>12</v>
      </c>
      <c r="F5" s="13"/>
      <c r="G5" s="13"/>
      <c r="H5" s="13"/>
    </row>
    <row r="6" spans="2:13" ht="12" x14ac:dyDescent="0.25">
      <c r="B6" s="5" t="s">
        <v>11</v>
      </c>
      <c r="D6" s="1" t="s">
        <v>13</v>
      </c>
      <c r="F6" s="13"/>
      <c r="G6" s="13"/>
      <c r="H6" s="13"/>
    </row>
    <row r="7" spans="2:13" ht="12" x14ac:dyDescent="0.25">
      <c r="B7" s="5" t="s">
        <v>17</v>
      </c>
      <c r="D7" s="1" t="s">
        <v>18</v>
      </c>
      <c r="F7" s="13"/>
      <c r="G7" s="13"/>
      <c r="H7" s="13"/>
    </row>
    <row r="8" spans="2:13" x14ac:dyDescent="0.2">
      <c r="F8" s="13"/>
      <c r="G8" s="13"/>
      <c r="H8" s="13"/>
    </row>
    <row r="9" spans="2:13" ht="12" x14ac:dyDescent="0.25">
      <c r="B9" s="5"/>
      <c r="F9" s="13"/>
      <c r="G9" s="13"/>
      <c r="H9" s="13"/>
    </row>
    <row r="10" spans="2:13" ht="12" x14ac:dyDescent="0.25">
      <c r="B10" s="5"/>
      <c r="F10" s="13"/>
      <c r="G10" s="13"/>
      <c r="H10" s="13"/>
    </row>
    <row r="11" spans="2:13" ht="16.2" thickBot="1" x14ac:dyDescent="0.35">
      <c r="C11" s="3" t="s">
        <v>16</v>
      </c>
      <c r="D11" s="3" t="s">
        <v>15</v>
      </c>
      <c r="G11" s="17" t="s">
        <v>3</v>
      </c>
      <c r="H11" s="13"/>
      <c r="J11" s="5"/>
    </row>
    <row r="12" spans="2:13" ht="12" x14ac:dyDescent="0.25">
      <c r="C12" s="18">
        <v>344</v>
      </c>
      <c r="D12" s="18">
        <v>378</v>
      </c>
      <c r="G12" s="21">
        <f>(C12-$C$17)*(D12-$D$17)</f>
        <v>19490.159999999993</v>
      </c>
      <c r="H12" s="13"/>
      <c r="J12" s="5"/>
      <c r="M12" s="20"/>
    </row>
    <row r="13" spans="2:13" ht="12" x14ac:dyDescent="0.25">
      <c r="C13" s="18">
        <v>383</v>
      </c>
      <c r="D13" s="18">
        <v>349</v>
      </c>
      <c r="G13" s="21">
        <f t="shared" ref="G13:G16" si="0">(C13-$C$17)*(D13-$D$17)</f>
        <v>19004.159999999993</v>
      </c>
      <c r="H13" s="13"/>
      <c r="J13" s="5"/>
    </row>
    <row r="14" spans="2:13" x14ac:dyDescent="0.2">
      <c r="C14" s="18">
        <v>611</v>
      </c>
      <c r="D14" s="18">
        <v>503</v>
      </c>
      <c r="G14" s="21">
        <f t="shared" si="0"/>
        <v>1179.3600000000024</v>
      </c>
      <c r="H14" s="13"/>
    </row>
    <row r="15" spans="2:13" x14ac:dyDescent="0.2">
      <c r="C15" s="18">
        <v>713</v>
      </c>
      <c r="D15" s="18">
        <v>719</v>
      </c>
      <c r="G15" s="21">
        <f t="shared" si="0"/>
        <v>44714.160000000011</v>
      </c>
      <c r="H15" s="13"/>
    </row>
    <row r="16" spans="2:13" x14ac:dyDescent="0.2">
      <c r="C16" s="19">
        <v>536</v>
      </c>
      <c r="D16" s="19">
        <v>503</v>
      </c>
      <c r="G16" s="21">
        <f t="shared" si="0"/>
        <v>234.3600000000007</v>
      </c>
      <c r="H16" s="13"/>
    </row>
    <row r="17" spans="2:8" ht="12" x14ac:dyDescent="0.25">
      <c r="B17" s="1" t="s">
        <v>2</v>
      </c>
      <c r="C17" s="1">
        <f xml:space="preserve"> AVERAGE(C12:C16)</f>
        <v>517.4</v>
      </c>
      <c r="D17" s="1">
        <f xml:space="preserve"> AVERAGE(D12:D16)</f>
        <v>490.4</v>
      </c>
      <c r="F17" s="5" t="s">
        <v>4</v>
      </c>
      <c r="G17" s="23">
        <f xml:space="preserve"> SUM(G12:G16)</f>
        <v>84622.2</v>
      </c>
      <c r="H17" s="13"/>
    </row>
    <row r="18" spans="2:8" ht="12" x14ac:dyDescent="0.25">
      <c r="B18" s="10"/>
      <c r="C18" s="4"/>
      <c r="D18" s="4"/>
      <c r="F18" s="5" t="s">
        <v>5</v>
      </c>
      <c r="G18" s="22">
        <v>5</v>
      </c>
      <c r="H18" s="13"/>
    </row>
    <row r="19" spans="2:8" ht="12.6" thickBot="1" x14ac:dyDescent="0.3">
      <c r="B19" s="5"/>
      <c r="C19" s="8"/>
      <c r="D19" s="8"/>
      <c r="F19" s="5" t="s">
        <v>20</v>
      </c>
      <c r="G19" s="24">
        <f xml:space="preserve"> G17/(G18-1)</f>
        <v>21155.55</v>
      </c>
      <c r="H19" s="13"/>
    </row>
    <row r="20" spans="2:8" ht="12.6" thickTop="1" x14ac:dyDescent="0.25">
      <c r="B20" s="5"/>
      <c r="C20" s="4"/>
      <c r="D20" s="4"/>
      <c r="F20" s="5"/>
      <c r="G20" s="21"/>
      <c r="H20" s="13"/>
    </row>
    <row r="21" spans="2:8" x14ac:dyDescent="0.2">
      <c r="F21" s="13"/>
      <c r="G21" s="13"/>
      <c r="H21" s="13"/>
    </row>
    <row r="22" spans="2:8" ht="12" x14ac:dyDescent="0.25">
      <c r="F22" s="14"/>
      <c r="G22" s="15"/>
      <c r="H22" s="13"/>
    </row>
    <row r="23" spans="2:8" x14ac:dyDescent="0.2">
      <c r="F23" s="13"/>
      <c r="G23" s="13"/>
      <c r="H23" s="13"/>
    </row>
  </sheetData>
  <sortState ref="G12:G20">
    <sortCondition descending="1" ref="G1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G16"/>
  <sheetViews>
    <sheetView zoomScaleNormal="100" workbookViewId="0">
      <selection activeCell="G6" sqref="G6"/>
    </sheetView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4">
        <v>650</v>
      </c>
      <c r="D6" s="4">
        <v>772000</v>
      </c>
      <c r="G6" s="11">
        <f>(C6-$C$11)*(D6-$D$11)</f>
        <v>34776000</v>
      </c>
    </row>
    <row r="7" spans="2:7" x14ac:dyDescent="0.2">
      <c r="C7" s="4">
        <v>785</v>
      </c>
      <c r="D7" s="4">
        <v>998000</v>
      </c>
      <c r="G7" s="11">
        <f>(C7-$C$11)*(D7-$D$11)</f>
        <v>-5265000</v>
      </c>
    </row>
    <row r="8" spans="2:7" x14ac:dyDescent="0.2">
      <c r="C8" s="4">
        <v>1200</v>
      </c>
      <c r="D8" s="4">
        <v>1200000</v>
      </c>
      <c r="G8" s="11">
        <f>(C8-$C$11)*(D8-$D$11)</f>
        <v>89178000</v>
      </c>
    </row>
    <row r="9" spans="2:7" x14ac:dyDescent="0.2">
      <c r="C9" s="4">
        <v>720</v>
      </c>
      <c r="D9" s="4">
        <v>800000</v>
      </c>
      <c r="G9" s="11">
        <f>(C9-$C$11)*(D9-$D$11)</f>
        <v>19418000</v>
      </c>
    </row>
    <row r="10" spans="2:7" x14ac:dyDescent="0.2">
      <c r="C10" s="7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6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G16"/>
  <sheetViews>
    <sheetView zoomScale="130" zoomScaleNormal="130" workbookViewId="0"/>
  </sheetViews>
  <sheetFormatPr defaultColWidth="9.109375" defaultRowHeight="11.4" x14ac:dyDescent="0.2"/>
  <cols>
    <col min="1" max="1" width="2" style="1" customWidth="1"/>
    <col min="2" max="2" width="5.44140625" style="1" customWidth="1"/>
    <col min="3" max="3" width="7.5546875" style="1" customWidth="1"/>
    <col min="4" max="4" width="9.5546875" style="1" customWidth="1"/>
    <col min="5" max="5" width="9.109375" style="1"/>
    <col min="6" max="6" width="18.77734375" style="1" customWidth="1"/>
    <col min="7" max="7" width="14" style="1" customWidth="1"/>
    <col min="8" max="16384" width="9.109375" style="1"/>
  </cols>
  <sheetData>
    <row r="1" spans="2:7" ht="15.6" x14ac:dyDescent="0.3">
      <c r="B1" s="2" t="s">
        <v>1</v>
      </c>
    </row>
    <row r="2" spans="2:7" ht="12" x14ac:dyDescent="0.25">
      <c r="B2" s="5" t="s">
        <v>0</v>
      </c>
    </row>
    <row r="5" spans="2:7" ht="12.6" thickBot="1" x14ac:dyDescent="0.3">
      <c r="C5" s="3" t="s">
        <v>7</v>
      </c>
      <c r="D5" s="3" t="s">
        <v>8</v>
      </c>
      <c r="G5" s="3" t="s">
        <v>3</v>
      </c>
    </row>
    <row r="6" spans="2:7" x14ac:dyDescent="0.2">
      <c r="C6" s="1">
        <v>650</v>
      </c>
      <c r="D6" s="4">
        <v>772000</v>
      </c>
      <c r="G6" s="11">
        <f>(C6-$C$11)*(D6-$D$11)</f>
        <v>34776000</v>
      </c>
    </row>
    <row r="7" spans="2:7" x14ac:dyDescent="0.2">
      <c r="C7" s="1">
        <v>785</v>
      </c>
      <c r="D7" s="4">
        <v>998000</v>
      </c>
      <c r="G7" s="11">
        <f>(C7-$C$11)*(D7-$D$11)</f>
        <v>-5265000</v>
      </c>
    </row>
    <row r="8" spans="2:7" x14ac:dyDescent="0.2">
      <c r="C8" s="1">
        <v>1200</v>
      </c>
      <c r="D8" s="4">
        <v>1200000</v>
      </c>
      <c r="G8" s="11">
        <f>(C8-$C$11)*(D8-$D$11)</f>
        <v>89178000</v>
      </c>
    </row>
    <row r="9" spans="2:7" x14ac:dyDescent="0.2">
      <c r="C9" s="1">
        <v>720</v>
      </c>
      <c r="D9" s="4">
        <v>800000</v>
      </c>
      <c r="G9" s="11">
        <f>(C9-$C$11)*(D9-$D$11)</f>
        <v>19418000</v>
      </c>
    </row>
    <row r="10" spans="2:7" x14ac:dyDescent="0.2">
      <c r="C10" s="6">
        <v>975</v>
      </c>
      <c r="D10" s="7">
        <v>895000</v>
      </c>
      <c r="G10" s="12">
        <f>(C10-$C$11)*(D10-$D$11)</f>
        <v>-4142000</v>
      </c>
    </row>
    <row r="11" spans="2:7" ht="12" x14ac:dyDescent="0.25">
      <c r="B11" s="10" t="s">
        <v>2</v>
      </c>
      <c r="C11" s="13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ht="12" x14ac:dyDescent="0.25">
      <c r="B12" s="5"/>
      <c r="C12" s="16"/>
      <c r="D12" s="4"/>
      <c r="F12" s="5" t="s">
        <v>5</v>
      </c>
      <c r="G12" s="11">
        <v>5</v>
      </c>
    </row>
    <row r="13" spans="2:7" ht="12" x14ac:dyDescent="0.25">
      <c r="B13" s="5"/>
      <c r="C13" s="8"/>
      <c r="D13" s="8"/>
      <c r="F13" s="5" t="s">
        <v>6</v>
      </c>
      <c r="G13" s="11">
        <f>G11/4</f>
        <v>33491250</v>
      </c>
    </row>
    <row r="14" spans="2:7" ht="12" x14ac:dyDescent="0.25">
      <c r="B14" s="5"/>
      <c r="C14" s="4"/>
      <c r="D14" s="4"/>
      <c r="F14" s="5"/>
      <c r="G14" s="9"/>
    </row>
    <row r="16" spans="2:7" ht="12" x14ac:dyDescent="0.25">
      <c r="F16" s="5"/>
      <c r="G1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Covariance</vt:lpstr>
      <vt:lpstr>cov</vt:lpstr>
      <vt:lpstr>Covariance2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asus</cp:lastModifiedBy>
  <dcterms:created xsi:type="dcterms:W3CDTF">2017-03-21T13:09:44Z</dcterms:created>
  <dcterms:modified xsi:type="dcterms:W3CDTF">2024-12-21T07:17:41Z</dcterms:modified>
</cp:coreProperties>
</file>