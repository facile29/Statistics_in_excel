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c84e1f40a1d74f/Desktop/statistics/"/>
    </mc:Choice>
  </mc:AlternateContent>
  <xr:revisionPtr revIDLastSave="0" documentId="8_{5195FFE9-17EA-42F4-BA62-BBF1811519C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td and cv" sheetId="9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" i="9" l="1"/>
  <c r="L17" i="9"/>
  <c r="L14" i="9"/>
  <c r="L13" i="9"/>
  <c r="I18" i="9"/>
  <c r="I17" i="9"/>
  <c r="I14" i="9" l="1"/>
  <c r="I13" i="9" l="1"/>
</calcChain>
</file>

<file path=xl/sharedStrings.xml><?xml version="1.0" encoding="utf-8"?>
<sst xmlns="http://schemas.openxmlformats.org/spreadsheetml/2006/main" count="26" uniqueCount="25">
  <si>
    <t>Background</t>
  </si>
  <si>
    <t>Task 1</t>
  </si>
  <si>
    <t>Task 2</t>
  </si>
  <si>
    <t>Task 3</t>
  </si>
  <si>
    <t>Standard deviation and coefficient of variation</t>
  </si>
  <si>
    <t>Average income in the United States and Denmark</t>
  </si>
  <si>
    <t>Annual income USA</t>
  </si>
  <si>
    <t>Annual income Denmark</t>
  </si>
  <si>
    <t>Decide whether you have to use sample or population formula for the standard deviation and the coefficient of variation</t>
  </si>
  <si>
    <t>Calculate the standard deviation of income in the USA and in Denmark</t>
  </si>
  <si>
    <t>Calculate the coefficient of variation of income in the USA and in Denmark</t>
  </si>
  <si>
    <t>Task 4</t>
  </si>
  <si>
    <t>Try to interpret the numbers you got</t>
  </si>
  <si>
    <t>Variance US</t>
  </si>
  <si>
    <t>Hint: You may start by calculating the mean and the variance</t>
  </si>
  <si>
    <t>Mean US</t>
  </si>
  <si>
    <t>You have the annual personal income of 11 people from the USA and 10 from Denmark. You have the mean income for USA from previous exercises</t>
  </si>
  <si>
    <t xml:space="preserve">Mean Denmark </t>
  </si>
  <si>
    <t>Variance Denmark</t>
  </si>
  <si>
    <t>Standard Deviation USA</t>
  </si>
  <si>
    <t>Coefficient of Variance</t>
  </si>
  <si>
    <t>Standard Deviation Denmark</t>
  </si>
  <si>
    <r>
      <t>USA</t>
    </r>
    <r>
      <rPr>
        <sz val="11"/>
        <color theme="1"/>
        <rFont val="Calibri"/>
        <family val="2"/>
        <scheme val="minor"/>
      </rPr>
      <t xml:space="preserve"> has higher average income, but the incomes are more spread out, meaning there's more inequality (some people earn a lot, others very little).</t>
    </r>
  </si>
  <si>
    <r>
      <t>Denmark</t>
    </r>
    <r>
      <rPr>
        <sz val="11"/>
        <color theme="1"/>
        <rFont val="Calibri"/>
        <family val="2"/>
        <scheme val="minor"/>
      </rPr>
      <t xml:space="preserve"> has a lower average income, but the incomes are closer to each other with less inequality, meaning the spread is smaller.</t>
    </r>
  </si>
  <si>
    <t>This shows that in the USA, the income gap between high and low earners is much wider, whereas in Denmark, the income distribution is much more equal.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</si>
</sst>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\²\ * #,##0.00_);_(&quot;$&quot;* \(#,##0.00\);_(&quot;$&quot;* &quot;-&quot;??_);_(@_)"/>
    <numFmt numFmtId="165" formatCode="_([$€-2]\ * #,##0.00_);_([$€-2]\ * \(#,##0.00\);_([$€-2]\ * &quot;-&quot;??_);_(@_)"/>
    <numFmt numFmtId="166" formatCode="_(\€\²\ 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0" fontId="4" fillId="2" borderId="0" xfId="0" applyFont="1" applyFill="1"/>
    <xf numFmtId="44" fontId="2" fillId="2" borderId="0" xfId="1" applyFont="1" applyFill="1"/>
    <xf numFmtId="44" fontId="2" fillId="2" borderId="1" xfId="1" applyFont="1" applyFill="1" applyBorder="1"/>
    <xf numFmtId="0" fontId="4" fillId="2" borderId="0" xfId="0" applyFont="1" applyFill="1" applyBorder="1" applyAlignment="1">
      <alignment horizontal="right"/>
    </xf>
    <xf numFmtId="44" fontId="2" fillId="2" borderId="0" xfId="1" applyFont="1" applyFill="1" applyBorder="1"/>
    <xf numFmtId="0" fontId="2" fillId="2" borderId="0" xfId="0" applyFont="1" applyFill="1" applyBorder="1"/>
    <xf numFmtId="44" fontId="4" fillId="2" borderId="0" xfId="1" applyFont="1" applyFill="1" applyBorder="1"/>
    <xf numFmtId="164" fontId="2" fillId="2" borderId="0" xfId="1" applyNumberFormat="1" applyFont="1" applyFill="1"/>
    <xf numFmtId="44" fontId="2" fillId="2" borderId="0" xfId="0" applyNumberFormat="1" applyFont="1" applyFill="1"/>
    <xf numFmtId="2" fontId="2" fillId="2" borderId="0" xfId="0" applyNumberFormat="1" applyFont="1" applyFill="1"/>
    <xf numFmtId="165" fontId="2" fillId="2" borderId="0" xfId="1" applyNumberFormat="1" applyFont="1" applyFill="1"/>
    <xf numFmtId="165" fontId="2" fillId="2" borderId="1" xfId="1" applyNumberFormat="1" applyFont="1" applyFill="1" applyBorder="1"/>
    <xf numFmtId="165" fontId="2" fillId="2" borderId="0" xfId="0" applyNumberFormat="1" applyFont="1" applyFill="1"/>
    <xf numFmtId="166" fontId="2" fillId="2" borderId="0" xfId="1" applyNumberFormat="1" applyFont="1" applyFill="1"/>
    <xf numFmtId="0" fontId="5" fillId="0" borderId="0" xfId="0" applyFont="1"/>
    <xf numFmtId="0" fontId="0" fillId="0" borderId="0" xfId="0" applyFont="1"/>
    <xf numFmtId="0" fontId="0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6"/>
  <sheetViews>
    <sheetView tabSelected="1" zoomScale="98" zoomScaleNormal="100" workbookViewId="0">
      <selection activeCell="H27" sqref="H27"/>
    </sheetView>
  </sheetViews>
  <sheetFormatPr defaultRowHeight="11.4" x14ac:dyDescent="0.2"/>
  <cols>
    <col min="1" max="1" width="2" style="1" customWidth="1"/>
    <col min="2" max="2" width="16.77734375" style="1" customWidth="1"/>
    <col min="3" max="3" width="14" style="1" bestFit="1" customWidth="1"/>
    <col min="4" max="4" width="7.5546875" style="1" bestFit="1" customWidth="1"/>
    <col min="5" max="5" width="20.77734375" style="1" customWidth="1"/>
    <col min="6" max="6" width="10.77734375" style="1" bestFit="1" customWidth="1"/>
    <col min="7" max="7" width="12.6640625" style="1" customWidth="1"/>
    <col min="8" max="8" width="20.109375" style="1" customWidth="1"/>
    <col min="9" max="9" width="18.21875" style="1" bestFit="1" customWidth="1"/>
    <col min="10" max="10" width="5.33203125" style="1" customWidth="1"/>
    <col min="11" max="11" width="23.44140625" style="1" bestFit="1" customWidth="1"/>
    <col min="12" max="12" width="14.109375" style="1" bestFit="1" customWidth="1"/>
    <col min="13" max="16384" width="8.88671875" style="1"/>
  </cols>
  <sheetData>
    <row r="1" spans="2:12" ht="15.6" x14ac:dyDescent="0.3">
      <c r="B1" s="2" t="s">
        <v>4</v>
      </c>
    </row>
    <row r="2" spans="2:12" ht="12" x14ac:dyDescent="0.25">
      <c r="B2" s="4" t="s">
        <v>5</v>
      </c>
    </row>
    <row r="3" spans="2:12" ht="12" x14ac:dyDescent="0.25">
      <c r="B3" s="4"/>
    </row>
    <row r="4" spans="2:12" ht="12" x14ac:dyDescent="0.25">
      <c r="B4" s="4" t="s">
        <v>0</v>
      </c>
      <c r="C4" s="1" t="s">
        <v>16</v>
      </c>
    </row>
    <row r="5" spans="2:12" ht="12" x14ac:dyDescent="0.25">
      <c r="B5" s="4" t="s">
        <v>1</v>
      </c>
      <c r="C5" s="1" t="s">
        <v>8</v>
      </c>
    </row>
    <row r="6" spans="2:12" ht="12" x14ac:dyDescent="0.25">
      <c r="B6" s="4" t="s">
        <v>2</v>
      </c>
      <c r="C6" s="1" t="s">
        <v>9</v>
      </c>
    </row>
    <row r="7" spans="2:12" ht="12" x14ac:dyDescent="0.25">
      <c r="B7" s="4"/>
      <c r="D7" s="1" t="s">
        <v>14</v>
      </c>
    </row>
    <row r="8" spans="2:12" ht="12" x14ac:dyDescent="0.25">
      <c r="B8" s="4" t="s">
        <v>3</v>
      </c>
      <c r="C8" s="1" t="s">
        <v>10</v>
      </c>
    </row>
    <row r="9" spans="2:12" ht="12" x14ac:dyDescent="0.25">
      <c r="B9" s="4" t="s">
        <v>11</v>
      </c>
      <c r="C9" s="1" t="s">
        <v>12</v>
      </c>
    </row>
    <row r="10" spans="2:12" ht="12" x14ac:dyDescent="0.25">
      <c r="B10" s="4"/>
    </row>
    <row r="11" spans="2:12" ht="12" x14ac:dyDescent="0.25">
      <c r="B11" s="4"/>
    </row>
    <row r="13" spans="2:12" ht="12.6" thickBot="1" x14ac:dyDescent="0.3">
      <c r="B13" s="3" t="s">
        <v>6</v>
      </c>
      <c r="E13" s="3" t="s">
        <v>7</v>
      </c>
      <c r="G13" s="7"/>
      <c r="H13" s="4" t="s">
        <v>15</v>
      </c>
      <c r="I13" s="5">
        <f>AVERAGE(B14:B24)</f>
        <v>189848.18181818182</v>
      </c>
      <c r="K13" s="4" t="s">
        <v>19</v>
      </c>
      <c r="L13" s="1">
        <f xml:space="preserve"> SQRT(I14)</f>
        <v>365285.38095078978</v>
      </c>
    </row>
    <row r="14" spans="2:12" ht="12" x14ac:dyDescent="0.25">
      <c r="B14" s="5">
        <v>62000</v>
      </c>
      <c r="E14" s="14">
        <v>62000</v>
      </c>
      <c r="F14" s="12"/>
      <c r="H14" s="4" t="s">
        <v>13</v>
      </c>
      <c r="I14" s="11">
        <f>_xlfn.VAR.S(B14:B24)</f>
        <v>133433409536.36362</v>
      </c>
      <c r="K14" s="4" t="s">
        <v>20</v>
      </c>
      <c r="L14" s="12">
        <f xml:space="preserve"> L13/I13</f>
        <v>1.9240920690018759</v>
      </c>
    </row>
    <row r="15" spans="2:12" x14ac:dyDescent="0.2">
      <c r="B15" s="5">
        <v>64000</v>
      </c>
      <c r="E15" s="14">
        <v>63000</v>
      </c>
      <c r="F15" s="12"/>
      <c r="H15" s="8"/>
    </row>
    <row r="16" spans="2:12" ht="12" x14ac:dyDescent="0.25">
      <c r="B16" s="5">
        <v>49000</v>
      </c>
      <c r="E16" s="14">
        <v>76000</v>
      </c>
      <c r="F16" s="12"/>
      <c r="G16" s="7"/>
      <c r="K16" s="4"/>
      <c r="L16" s="16"/>
    </row>
    <row r="17" spans="2:12" ht="12" x14ac:dyDescent="0.25">
      <c r="B17" s="5">
        <v>324000</v>
      </c>
      <c r="E17" s="14">
        <v>79000</v>
      </c>
      <c r="F17" s="12"/>
      <c r="H17" s="4" t="s">
        <v>17</v>
      </c>
      <c r="I17" s="16">
        <f xml:space="preserve"> AVERAGE(E14:E24)</f>
        <v>67636.363636363632</v>
      </c>
      <c r="K17" s="4" t="s">
        <v>21</v>
      </c>
      <c r="L17" s="17">
        <f xml:space="preserve"> SQRT(I18)</f>
        <v>6136.3299662375921</v>
      </c>
    </row>
    <row r="18" spans="2:12" ht="12" x14ac:dyDescent="0.25">
      <c r="B18" s="5">
        <v>1264000</v>
      </c>
      <c r="E18" s="14">
        <v>67000</v>
      </c>
      <c r="F18" s="12"/>
      <c r="H18" s="4" t="s">
        <v>18</v>
      </c>
      <c r="I18" s="5">
        <f xml:space="preserve"> _xlfn.VAR.S(E14:E24)</f>
        <v>37654545.454545453</v>
      </c>
      <c r="K18" s="4" t="s">
        <v>20</v>
      </c>
      <c r="L18" s="16">
        <f xml:space="preserve"> L17/I17</f>
        <v>9.072530864060957E-2</v>
      </c>
    </row>
    <row r="19" spans="2:12" ht="12" x14ac:dyDescent="0.25">
      <c r="B19" s="5">
        <v>54330</v>
      </c>
      <c r="D19" s="10"/>
      <c r="E19" s="14">
        <v>66000</v>
      </c>
      <c r="F19" s="12"/>
    </row>
    <row r="20" spans="2:12" ht="12" x14ac:dyDescent="0.25">
      <c r="B20" s="5">
        <v>64000</v>
      </c>
      <c r="D20" s="8"/>
      <c r="E20" s="14">
        <v>69000</v>
      </c>
      <c r="F20" s="12"/>
      <c r="G20" s="7"/>
      <c r="H20" s="4"/>
      <c r="I20" s="13"/>
      <c r="K20" s="4"/>
      <c r="L20" s="13"/>
    </row>
    <row r="21" spans="2:12" x14ac:dyDescent="0.2">
      <c r="B21" s="5">
        <v>51000</v>
      </c>
      <c r="D21" s="8"/>
      <c r="E21" s="14">
        <v>68000</v>
      </c>
      <c r="F21" s="12"/>
    </row>
    <row r="22" spans="2:12" ht="14.4" x14ac:dyDescent="0.3">
      <c r="B22" s="5">
        <v>55000</v>
      </c>
      <c r="D22" s="8"/>
      <c r="E22" s="14">
        <v>57000</v>
      </c>
      <c r="F22" s="12"/>
      <c r="G22" s="7"/>
      <c r="H22" s="20" t="s">
        <v>22</v>
      </c>
    </row>
    <row r="23" spans="2:12" ht="14.4" x14ac:dyDescent="0.3">
      <c r="B23" s="5">
        <v>48000</v>
      </c>
      <c r="D23" s="8"/>
      <c r="E23" s="14">
        <v>70000</v>
      </c>
      <c r="F23" s="12"/>
      <c r="H23" s="19" t="s">
        <v>23</v>
      </c>
    </row>
    <row r="24" spans="2:12" ht="15" thickBot="1" x14ac:dyDescent="0.35">
      <c r="B24" s="6">
        <v>53000</v>
      </c>
      <c r="D24" s="8"/>
      <c r="E24" s="15">
        <v>67000</v>
      </c>
      <c r="F24" s="12"/>
      <c r="H24" s="18" t="s">
        <v>24</v>
      </c>
    </row>
    <row r="25" spans="2:12" x14ac:dyDescent="0.2">
      <c r="B25" s="9"/>
    </row>
    <row r="26" spans="2:12" ht="12" x14ac:dyDescent="0.25">
      <c r="H26" s="4"/>
      <c r="I26" s="12"/>
      <c r="K26" s="4"/>
      <c r="L26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 and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asus</cp:lastModifiedBy>
  <dcterms:created xsi:type="dcterms:W3CDTF">2017-04-19T13:21:25Z</dcterms:created>
  <dcterms:modified xsi:type="dcterms:W3CDTF">2024-12-21T06:37:35Z</dcterms:modified>
</cp:coreProperties>
</file>